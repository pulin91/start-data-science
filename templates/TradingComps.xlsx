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(#,##0.0);&quot;-&quot;"/>
    <numFmt numFmtId="165" formatCode="#,##0.00;(#,##0.00);&quot;-&quot;"/>
  </numFmts>
  <fonts count="5">
    <font>
      <name val="Calibri"/>
      <family val="2"/>
      <color theme="1"/>
      <sz val="11"/>
      <scheme val="minor"/>
    </font>
    <font>
      <name val="Aptos"/>
      <b val="1"/>
      <sz val="10"/>
    </font>
    <font>
      <name val="Aptos"/>
      <sz val="10"/>
    </font>
    <font>
      <name val="Aptos"/>
      <color rgb="FF000000"/>
      <sz val="10"/>
    </font>
    <font>
      <name val="Aptos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3" fillId="0" borderId="0" pivotButton="0" quotePrefix="0" xfId="0"/>
    <xf numFmtId="164" fontId="3" fillId="0" borderId="1" pivotButton="0" quotePrefix="0" xfId="0"/>
    <xf numFmtId="164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Claude Analyst</author>
  </authors>
  <commentList>
    <comment ref="B4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Cash and cash equivalents
pg 4
Marketable securities
pg 4
(Restricted cash $2.6bn sits in prepaid expenses, not in cash - not added; pg 10)</t>
        </r>
      </text>
    </comment>
    <comment ref="B5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Notes payable and other borrowings, current
pg 4</t>
        </r>
      </text>
    </comment>
    <comment ref="B6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Finance lease liabilities, current
pg 19
(Within other current liabilities, not in borrowings - Oracle AR May 26 pg 118)</t>
        </r>
      </text>
    </comment>
    <comment ref="B7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Operating lease liabilities, current
pg 19</t>
        </r>
      </text>
    </comment>
    <comment ref="B8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Notes payable and other borrowings, non-current
pg 4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Finance lease liabilities, non-current
pg 19
(Within other non-current liabilities, not in borrowings - Oracle AR May 26 pg 118)</t>
        </r>
      </text>
    </comment>
    <comment ref="B10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Operating lease liabilities (non-current)
pg 4</t>
        </r>
      </text>
    </comment>
    <comment ref="B12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AR May 26
Aggregate net liability (funded status) of defined benefit plans
pg 144
(Carry-forward - not disclosed in QR)</t>
        </r>
      </text>
    </comment>
    <comment ref="B13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Preferred stock - 6.50% Series D Mandatory Convertible Preferred Stock
pg 4</t>
        </r>
      </text>
    </comment>
    <comment ref="B14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Noncontrolling interests
pg 4</t>
        </r>
      </text>
    </comment>
    <comment ref="B16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Oracle QR Aug 26
Shares of common stock outstanding as of September 7, 2026: 3,023,736,000 (in millions)
pg 1</t>
        </r>
      </text>
    </comment>
    <comment ref="B19" authorId="0" shapeId="0">
      <text>
        <r>
          <rPr>
            <b/>
            <sz val="9"/>
            <color indexed="81"/>
            <rFont val="Tahoma"/>
            <family val="2"/>
          </rPr>
          <t>Claude Analyst:</t>
        </r>
        <r>
          <rPr>
            <sz val="9"/>
            <color indexed="81"/>
            <rFont val="Tahoma"/>
            <family val="2"/>
          </rPr>
          <t xml:space="preserve">
Yahoo Finance
ORCL closing price (USD), 25 Sep 2026
finance.yahoo.com/quote/ORCL/history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Company</t>
        </is>
      </c>
      <c r="B1" s="1" t="inlineStr">
        <is>
          <t>Oracle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inlineStr">
        <is>
          <t>BS Currency</t>
        </is>
      </c>
      <c r="B2" s="1" t="inlineStr">
        <is>
          <t>USD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inlineStr">
        <is>
          <t>EV Bridge (m)</t>
        </is>
      </c>
    </row>
    <row r="4">
      <c r="A4" s="2" t="inlineStr">
        <is>
          <t>Cash</t>
        </is>
      </c>
      <c r="B4" s="7">
        <f>-36369-708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A5" s="2" t="inlineStr">
        <is>
          <t>Short Term Debt</t>
        </is>
      </c>
      <c r="B5" s="7" t="n">
        <v>7625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</row>
    <row r="6">
      <c r="A6" s="2" t="inlineStr">
        <is>
          <t>ST Financial Lease</t>
        </is>
      </c>
      <c r="B6" s="7" t="n">
        <v>749</v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</row>
    <row r="7">
      <c r="A7" s="2" t="inlineStr">
        <is>
          <t>ST Operating Lease</t>
        </is>
      </c>
      <c r="B7" s="7" t="n">
        <v>4027</v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</row>
    <row r="8">
      <c r="A8" s="2" t="inlineStr">
        <is>
          <t>Long Term Debt</t>
        </is>
      </c>
      <c r="B8" s="7" t="n">
        <v>117712</v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</row>
    <row r="9">
      <c r="A9" s="2" t="inlineStr">
        <is>
          <t>LT Financial Lease</t>
        </is>
      </c>
      <c r="B9" s="7" t="n">
        <v>8436</v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</row>
    <row r="10">
      <c r="A10" s="2" t="inlineStr">
        <is>
          <t>LT Operating Lease</t>
        </is>
      </c>
      <c r="B10" s="7" t="n">
        <v>30594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</row>
    <row r="11">
      <c r="A11" s="2" t="inlineStr">
        <is>
          <t>Affiliates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</row>
    <row r="12">
      <c r="A12" s="2" t="inlineStr">
        <is>
          <t>Pensions</t>
        </is>
      </c>
      <c r="B12" s="7" t="n">
        <v>256</v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</row>
    <row r="13">
      <c r="A13" s="2" t="inlineStr">
        <is>
          <t>Preferred Equity</t>
        </is>
      </c>
      <c r="B13" s="7" t="n">
        <v>4954</v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</row>
    <row r="14">
      <c r="A14" s="2" t="inlineStr">
        <is>
          <t>Minorities</t>
        </is>
      </c>
      <c r="B14" s="7" t="n">
        <v>424</v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</row>
    <row r="15"/>
    <row r="16">
      <c r="A16" s="2" t="inlineStr">
        <is>
          <t>Shares</t>
        </is>
      </c>
      <c r="B16" s="7" t="n">
        <v>3023.736</v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</row>
    <row r="17"/>
    <row r="18">
      <c r="A18" s="4" t="inlineStr">
        <is>
          <t>Total Shares</t>
        </is>
      </c>
      <c r="B18" s="5">
        <f>B16</f>
        <v/>
      </c>
      <c r="C18" s="5">
        <f>C16</f>
        <v/>
      </c>
      <c r="D18" s="5">
        <f>D16</f>
        <v/>
      </c>
      <c r="E18" s="5">
        <f>E16</f>
        <v/>
      </c>
      <c r="F18" s="5">
        <f>F16</f>
        <v/>
      </c>
      <c r="G18" s="5">
        <f>G16</f>
        <v/>
      </c>
      <c r="H18" s="5">
        <f>H16</f>
        <v/>
      </c>
      <c r="I18" s="5">
        <f>I16</f>
        <v/>
      </c>
      <c r="J18" s="5">
        <f>J16</f>
        <v/>
      </c>
      <c r="K18" s="5">
        <f>K16</f>
        <v/>
      </c>
    </row>
    <row r="19">
      <c r="A19" s="2" t="inlineStr">
        <is>
          <t>Price</t>
        </is>
      </c>
      <c r="B19" s="8" t="n">
        <v>137.1</v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</row>
    <row r="20">
      <c r="A20" s="4" t="inlineStr">
        <is>
          <t>Equity Value</t>
        </is>
      </c>
      <c r="B20" s="5">
        <f>B18*B19</f>
        <v/>
      </c>
      <c r="C20" s="5">
        <f>C18*C19</f>
        <v/>
      </c>
      <c r="D20" s="5">
        <f>D18*D19</f>
        <v/>
      </c>
      <c r="E20" s="5">
        <f>E18*E19</f>
        <v/>
      </c>
      <c r="F20" s="5">
        <f>F18*F19</f>
        <v/>
      </c>
      <c r="G20" s="5">
        <f>G18*G19</f>
        <v/>
      </c>
      <c r="H20" s="5">
        <f>H18*H19</f>
        <v/>
      </c>
      <c r="I20" s="5">
        <f>I18*I19</f>
        <v/>
      </c>
      <c r="J20" s="5">
        <f>J18*J19</f>
        <v/>
      </c>
      <c r="K20" s="5">
        <f>K18*K19</f>
        <v/>
      </c>
    </row>
    <row r="21"/>
    <row r="22">
      <c r="A22" s="4" t="inlineStr">
        <is>
          <t>Net Debt</t>
        </is>
      </c>
      <c r="B22" s="6">
        <f>SUM(B4:B6)+B8+B9</f>
        <v/>
      </c>
      <c r="C22" s="6">
        <f>SUM(C4:C6)+C8+C9</f>
        <v/>
      </c>
      <c r="D22" s="6">
        <f>SUM(D4:D6)+D8+D9</f>
        <v/>
      </c>
      <c r="E22" s="6">
        <f>SUM(E4:E6)+E8+E9</f>
        <v/>
      </c>
      <c r="F22" s="6">
        <f>SUM(F4:F6)+F8+F9</f>
        <v/>
      </c>
      <c r="G22" s="6">
        <f>SUM(G4:G6)+G8+G9</f>
        <v/>
      </c>
      <c r="H22" s="6">
        <f>SUM(H4:H6)+H8+H9</f>
        <v/>
      </c>
      <c r="I22" s="6">
        <f>SUM(I4:I6)+I8+I9</f>
        <v/>
      </c>
      <c r="J22" s="6">
        <f>SUM(J4:J6)+J8+J9</f>
        <v/>
      </c>
      <c r="K22" s="6">
        <f>SUM(K4:K6)+K8+K9</f>
        <v/>
      </c>
    </row>
    <row r="23">
      <c r="A23" s="4" t="inlineStr">
        <is>
          <t>Net Debt Post IFRS16</t>
        </is>
      </c>
      <c r="B23" s="5">
        <f>B22+B7+B10</f>
        <v/>
      </c>
      <c r="C23" s="5">
        <f>C22+C7+C10</f>
        <v/>
      </c>
      <c r="D23" s="5">
        <f>D22+D7+D10</f>
        <v/>
      </c>
      <c r="E23" s="5">
        <f>E22+E7+E10</f>
        <v/>
      </c>
      <c r="F23" s="5">
        <f>F22+F7+F10</f>
        <v/>
      </c>
      <c r="G23" s="5">
        <f>G22+G7+G10</f>
        <v/>
      </c>
      <c r="H23" s="5">
        <f>H22+H7+H10</f>
        <v/>
      </c>
      <c r="I23" s="5">
        <f>I22+I7+I10</f>
        <v/>
      </c>
      <c r="J23" s="5">
        <f>J22+J7+J10</f>
        <v/>
      </c>
      <c r="K23" s="5">
        <f>K22+K7+K10</f>
        <v/>
      </c>
    </row>
    <row r="24">
      <c r="A24" s="4" t="inlineStr">
        <is>
          <t>Other Adjustments</t>
        </is>
      </c>
      <c r="B24" s="5">
        <f>SUM(B11:B14)</f>
        <v/>
      </c>
      <c r="C24" s="5">
        <f>SUM(C11:C14)</f>
        <v/>
      </c>
      <c r="D24" s="5">
        <f>SUM(D11:D14)</f>
        <v/>
      </c>
      <c r="E24" s="5">
        <f>SUM(E11:E14)</f>
        <v/>
      </c>
      <c r="F24" s="5">
        <f>SUM(F11:F14)</f>
        <v/>
      </c>
      <c r="G24" s="5">
        <f>SUM(G11:G14)</f>
        <v/>
      </c>
      <c r="H24" s="5">
        <f>SUM(H11:H14)</f>
        <v/>
      </c>
      <c r="I24" s="5">
        <f>SUM(I11:I14)</f>
        <v/>
      </c>
      <c r="J24" s="5">
        <f>SUM(J11:J14)</f>
        <v/>
      </c>
      <c r="K24" s="5">
        <f>SUM(K11:K14)</f>
        <v/>
      </c>
    </row>
    <row r="25">
      <c r="A25" s="4" t="inlineStr">
        <is>
          <t>Enterprise Value</t>
        </is>
      </c>
      <c r="B25" s="6">
        <f>B20+B23+B24</f>
        <v/>
      </c>
      <c r="C25" s="6">
        <f>C20+C23+C24</f>
        <v/>
      </c>
      <c r="D25" s="6">
        <f>D20+D23+D24</f>
        <v/>
      </c>
      <c r="E25" s="6">
        <f>E20+E23+E24</f>
        <v/>
      </c>
      <c r="F25" s="6">
        <f>F20+F23+F24</f>
        <v/>
      </c>
      <c r="G25" s="6">
        <f>G20+G23+G24</f>
        <v/>
      </c>
      <c r="H25" s="6">
        <f>H20+H23+H24</f>
        <v/>
      </c>
      <c r="I25" s="6">
        <f>I20+I23+I24</f>
        <v/>
      </c>
      <c r="J25" s="6">
        <f>J20+J23+J24</f>
        <v/>
      </c>
      <c r="K25" s="6">
        <f>K20+K23+K24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2026-09-26T16:56:50Z</dcterms:created>
  <dcterms:modified xsi:type="dcterms:W3CDTF">2026-09-26T17:19:30Z</dcterms:modified>
</cp:coreProperties>
</file>