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&quot;-&quot;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Company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BS Currency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inlineStr">
        <is>
          <t>EV Bridge (m)</t>
        </is>
      </c>
    </row>
    <row r="4">
      <c r="A4" s="2" t="inlineStr">
        <is>
          <t>Cash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2" t="inlineStr">
        <is>
          <t>Short Term Debt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2" t="inlineStr">
        <is>
          <t>ST Financial Lease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2" t="inlineStr">
        <is>
          <t>ST Operating Lease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2" t="inlineStr">
        <is>
          <t>Long Term Debt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2" t="inlineStr">
        <is>
          <t>LT Financial Lease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2" t="inlineStr">
        <is>
          <t>LT Operating Lease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2" t="inlineStr">
        <is>
          <t>Affiliates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2" t="inlineStr">
        <is>
          <t>Pensions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2" t="inlineStr">
        <is>
          <t>Preferred Equity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2" t="inlineStr">
        <is>
          <t>Minorities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6">
      <c r="A16" s="2" t="inlineStr">
        <is>
          <t>Shares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8">
      <c r="A18" s="4" t="inlineStr">
        <is>
          <t>Total Shares</t>
        </is>
      </c>
      <c r="B18" s="5">
        <f>B16</f>
        <v/>
      </c>
      <c r="C18" s="5">
        <f>C16</f>
        <v/>
      </c>
      <c r="D18" s="5">
        <f>D16</f>
        <v/>
      </c>
      <c r="E18" s="5">
        <f>E16</f>
        <v/>
      </c>
      <c r="F18" s="5">
        <f>F16</f>
        <v/>
      </c>
      <c r="G18" s="5">
        <f>G16</f>
        <v/>
      </c>
      <c r="H18" s="5">
        <f>H16</f>
        <v/>
      </c>
      <c r="I18" s="5">
        <f>I16</f>
        <v/>
      </c>
      <c r="J18" s="5">
        <f>J16</f>
        <v/>
      </c>
      <c r="K18" s="5">
        <f>K16</f>
        <v/>
      </c>
    </row>
    <row r="19">
      <c r="A19" s="2" t="inlineStr">
        <is>
          <t>Price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4" t="inlineStr">
        <is>
          <t>Equity Value</t>
        </is>
      </c>
      <c r="B20" s="5">
        <f>B18*B19</f>
        <v/>
      </c>
      <c r="C20" s="5">
        <f>C18*C19</f>
        <v/>
      </c>
      <c r="D20" s="5">
        <f>D18*D19</f>
        <v/>
      </c>
      <c r="E20" s="5">
        <f>E18*E19</f>
        <v/>
      </c>
      <c r="F20" s="5">
        <f>F18*F19</f>
        <v/>
      </c>
      <c r="G20" s="5">
        <f>G18*G19</f>
        <v/>
      </c>
      <c r="H20" s="5">
        <f>H18*H19</f>
        <v/>
      </c>
      <c r="I20" s="5">
        <f>I18*I19</f>
        <v/>
      </c>
      <c r="J20" s="5">
        <f>J18*J19</f>
        <v/>
      </c>
      <c r="K20" s="5">
        <f>K18*K19</f>
        <v/>
      </c>
    </row>
    <row r="22">
      <c r="A22" s="4" t="inlineStr">
        <is>
          <t>Net Debt</t>
        </is>
      </c>
      <c r="B22" s="6">
        <f>SUM(B4:B6)+B8+B9</f>
        <v/>
      </c>
      <c r="C22" s="6">
        <f>SUM(C4:C6)+C8+C9</f>
        <v/>
      </c>
      <c r="D22" s="6">
        <f>SUM(D4:D6)+D8+D9</f>
        <v/>
      </c>
      <c r="E22" s="6">
        <f>SUM(E4:E6)+E8+E9</f>
        <v/>
      </c>
      <c r="F22" s="6">
        <f>SUM(F4:F6)+F8+F9</f>
        <v/>
      </c>
      <c r="G22" s="6">
        <f>SUM(G4:G6)+G8+G9</f>
        <v/>
      </c>
      <c r="H22" s="6">
        <f>SUM(H4:H6)+H8+H9</f>
        <v/>
      </c>
      <c r="I22" s="6">
        <f>SUM(I4:I6)+I8+I9</f>
        <v/>
      </c>
      <c r="J22" s="6">
        <f>SUM(J4:J6)+J8+J9</f>
        <v/>
      </c>
      <c r="K22" s="6">
        <f>SUM(K4:K6)+K8+K9</f>
        <v/>
      </c>
    </row>
    <row r="23">
      <c r="A23" s="4" t="inlineStr">
        <is>
          <t>Net Debt Post IFRS16</t>
        </is>
      </c>
      <c r="B23" s="5">
        <f>B22+B7+B10</f>
        <v/>
      </c>
      <c r="C23" s="5">
        <f>C22+C7+C10</f>
        <v/>
      </c>
      <c r="D23" s="5">
        <f>D22+D7+D10</f>
        <v/>
      </c>
      <c r="E23" s="5">
        <f>E22+E7+E10</f>
        <v/>
      </c>
      <c r="F23" s="5">
        <f>F22+F7+F10</f>
        <v/>
      </c>
      <c r="G23" s="5">
        <f>G22+G7+G10</f>
        <v/>
      </c>
      <c r="H23" s="5">
        <f>H22+H7+H10</f>
        <v/>
      </c>
      <c r="I23" s="5">
        <f>I22+I7+I10</f>
        <v/>
      </c>
      <c r="J23" s="5">
        <f>J22+J7+J10</f>
        <v/>
      </c>
      <c r="K23" s="5">
        <f>K22+K7+K10</f>
        <v/>
      </c>
    </row>
    <row r="24">
      <c r="A24" s="4" t="inlineStr">
        <is>
          <t>Other Adjustments</t>
        </is>
      </c>
      <c r="B24" s="5">
        <f>SUM(B11:B14)</f>
        <v/>
      </c>
      <c r="C24" s="5">
        <f>SUM(C11:C14)</f>
        <v/>
      </c>
      <c r="D24" s="5">
        <f>SUM(D11:D14)</f>
        <v/>
      </c>
      <c r="E24" s="5">
        <f>SUM(E11:E14)</f>
        <v/>
      </c>
      <c r="F24" s="5">
        <f>SUM(F11:F14)</f>
        <v/>
      </c>
      <c r="G24" s="5">
        <f>SUM(G11:G14)</f>
        <v/>
      </c>
      <c r="H24" s="5">
        <f>SUM(H11:H14)</f>
        <v/>
      </c>
      <c r="I24" s="5">
        <f>SUM(I11:I14)</f>
        <v/>
      </c>
      <c r="J24" s="5">
        <f>SUM(J11:J14)</f>
        <v/>
      </c>
      <c r="K24" s="5">
        <f>SUM(K11:K14)</f>
        <v/>
      </c>
    </row>
    <row r="25">
      <c r="A25" s="4" t="inlineStr">
        <is>
          <t>Enterprise Value</t>
        </is>
      </c>
      <c r="B25" s="6">
        <f>B20+B23+B24</f>
        <v/>
      </c>
      <c r="C25" s="6">
        <f>C20+C23+C24</f>
        <v/>
      </c>
      <c r="D25" s="6">
        <f>D20+D23+D24</f>
        <v/>
      </c>
      <c r="E25" s="6">
        <f>E20+E23+E24</f>
        <v/>
      </c>
      <c r="F25" s="6">
        <f>F20+F23+F24</f>
        <v/>
      </c>
      <c r="G25" s="6">
        <f>G20+G23+G24</f>
        <v/>
      </c>
      <c r="H25" s="6">
        <f>H20+H23+H24</f>
        <v/>
      </c>
      <c r="I25" s="6">
        <f>I20+I23+I24</f>
        <v/>
      </c>
      <c r="J25" s="6">
        <f>J20+J23+J24</f>
        <v/>
      </c>
      <c r="K25" s="6">
        <f>K20+K23+K24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2026-09-26T16:56:50Z</dcterms:created>
  <dcterms:modified xsi:type="dcterms:W3CDTF">2026-09-26T16:56:50Z</dcterms:modified>
</cp:coreProperties>
</file>